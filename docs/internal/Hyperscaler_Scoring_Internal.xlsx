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xr:revisionPtr revIDLastSave="0" documentId="8_{39AB1BCD-083D-4882-8C29-0EAB63AD9C29}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Scoring (Internal)" sheetId="1" r:id="rId1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7" i="1" l="1"/>
  <c r="I47" i="1"/>
  <c r="G47" i="1"/>
  <c r="K46" i="1"/>
  <c r="I46" i="1"/>
  <c r="G46" i="1"/>
  <c r="K45" i="1"/>
  <c r="I45" i="1"/>
  <c r="G45" i="1"/>
  <c r="K44" i="1"/>
  <c r="I44" i="1"/>
  <c r="G44" i="1"/>
  <c r="K43" i="1"/>
  <c r="I43" i="1"/>
  <c r="G43" i="1"/>
  <c r="K42" i="1"/>
  <c r="I42" i="1"/>
  <c r="G42" i="1"/>
  <c r="K41" i="1"/>
  <c r="I41" i="1"/>
  <c r="G41" i="1"/>
  <c r="K38" i="1"/>
  <c r="I38" i="1"/>
  <c r="G38" i="1"/>
</calcChain>
</file>

<file path=xl/sharedStrings.xml><?xml version="1.0" encoding="utf-8"?>
<sst xmlns="http://schemas.openxmlformats.org/spreadsheetml/2006/main" count="110" uniqueCount="100">
  <si>
    <t>Theme</t>
  </si>
  <si>
    <t>Ref</t>
  </si>
  <si>
    <t>Capability</t>
  </si>
  <si>
    <t>Weight
(1-5)</t>
  </si>
  <si>
    <t>Open Source Alternative</t>
  </si>
  <si>
    <t>Reasoning for OSS</t>
  </si>
  <si>
    <t>Microsoft
(1-5)</t>
  </si>
  <si>
    <t>Reasoning for Microsoft</t>
  </si>
  <si>
    <t>Google
(1-5)</t>
  </si>
  <si>
    <t>Reasoning for Google</t>
  </si>
  <si>
    <t>Amazon
(1-5)</t>
  </si>
  <si>
    <t>Reasoning for Amazon</t>
  </si>
  <si>
    <t>Reviewer Notes</t>
  </si>
  <si>
    <t>1. Orchestration &amp; Agent Runtime</t>
  </si>
  <si>
    <t>1.1</t>
  </si>
  <si>
    <t>Agent Creation</t>
  </si>
  <si>
    <t xml:space="preserve">[Max] 
Pros:  Wide Ecosystem for creation  
Cons: Self-managed scaling </t>
  </si>
  <si>
    <t>1.2</t>
  </si>
  <si>
    <t>Planning &amp; Task Decomposition</t>
  </si>
  <si>
    <t>1.3</t>
  </si>
  <si>
    <t>Agent-to-Agent Communication (A2A)</t>
  </si>
  <si>
    <t xml:space="preserve">[Max] Pros: Open Spec </t>
  </si>
  <si>
    <t>1.4</t>
  </si>
  <si>
    <t>Workflow Management</t>
  </si>
  <si>
    <t>1.5</t>
  </si>
  <si>
    <t>Durable Execution</t>
  </si>
  <si>
    <t>1.6</t>
  </si>
  <si>
    <t>Performance &amp; Latency Optimisation</t>
  </si>
  <si>
    <t>2. Tools, Registry &amp; Discovery</t>
  </si>
  <si>
    <t>2.1</t>
  </si>
  <si>
    <t>Agent Registry &amp; Discovery</t>
  </si>
  <si>
    <t>2.2</t>
  </si>
  <si>
    <t>Tools Registry &amp; Discovery</t>
  </si>
  <si>
    <t>2.3</t>
  </si>
  <si>
    <t>Tool Contract Standardisation</t>
  </si>
  <si>
    <t>2.4</t>
  </si>
  <si>
    <t>MCP Gateway / Tool Integration</t>
  </si>
  <si>
    <t>3. Models</t>
  </si>
  <si>
    <t>3.1</t>
  </si>
  <si>
    <t>Native / First-Party LLMs</t>
  </si>
  <si>
    <t>[Denesh]
Pros: Wide range of models including OpenAI, Claude, Grok, Hugging face
Cons: Frontier models are third party based. No support for Gemini Models which could be worked around using API-Manager with some cost by traffic</t>
  </si>
  <si>
    <t xml:space="preserve">[Denesh]
</t>
  </si>
  <si>
    <t>3.2</t>
  </si>
  <si>
    <t>Third-Party LLM Access</t>
  </si>
  <si>
    <t>3.3</t>
  </si>
  <si>
    <t>Model Fine-Tuning &amp; Customisation</t>
  </si>
  <si>
    <t>3.4</t>
  </si>
  <si>
    <t>Model Routing</t>
  </si>
  <si>
    <t>3.5</t>
  </si>
  <si>
    <t>Prompt Management &amp; Versioning</t>
  </si>
  <si>
    <t>4. Memory &amp; Data</t>
  </si>
  <si>
    <t>4.1</t>
  </si>
  <si>
    <t>Memory (cross-session / long-term)</t>
  </si>
  <si>
    <t>4.2</t>
  </si>
  <si>
    <t>Data + Semantic Layer Integration</t>
  </si>
  <si>
    <t>5. Governance, Security &amp; Trust</t>
  </si>
  <si>
    <t>5.1</t>
  </si>
  <si>
    <t>IAM / Non-Human Identity</t>
  </si>
  <si>
    <t>5.2</t>
  </si>
  <si>
    <t>Data Security &amp; Privacy</t>
  </si>
  <si>
    <t>5.3</t>
  </si>
  <si>
    <t>Guardrails &amp; Tool Enforcement</t>
  </si>
  <si>
    <t>5.4</t>
  </si>
  <si>
    <t>Human-in-the-Loop</t>
  </si>
  <si>
    <t>5.5</t>
  </si>
  <si>
    <t>Compliance &amp; Certifications</t>
  </si>
  <si>
    <t>6. Observability, Evaluation &amp; DevEx</t>
  </si>
  <si>
    <t>6.1</t>
  </si>
  <si>
    <t>Observability &amp; Tracing</t>
  </si>
  <si>
    <t>[NM</t>
  </si>
  <si>
    <t>6.2</t>
  </si>
  <si>
    <t>Runtime Evaluation &amp; Feedback Loop</t>
  </si>
  <si>
    <t>6.3</t>
  </si>
  <si>
    <t>Eval-as-a-Service (offline)</t>
  </si>
  <si>
    <t>6.4</t>
  </si>
  <si>
    <t>Debugging &amp; Developer Experience</t>
  </si>
  <si>
    <t>6.5</t>
  </si>
  <si>
    <t>Agent Lifecycle Management</t>
  </si>
  <si>
    <t>7. Deployment, Commercial &amp; Engagement</t>
  </si>
  <si>
    <t>7.1</t>
  </si>
  <si>
    <t>Deployment Topology &amp; Data Residency</t>
  </si>
  <si>
    <t>7.2</t>
  </si>
  <si>
    <t>Multi-tenant Cost Attribution</t>
  </si>
  <si>
    <t>7.3</t>
  </si>
  <si>
    <t>Commercial &amp; Pricing Model</t>
  </si>
  <si>
    <t>7.4</t>
  </si>
  <si>
    <t>SLAs &amp; Support Model</t>
  </si>
  <si>
    <t>7.5</t>
  </si>
  <si>
    <t>Scale, Quotas &amp; Limits</t>
  </si>
  <si>
    <t>7.6</t>
  </si>
  <si>
    <t>Lock-in &amp; Portability / Open Standards</t>
  </si>
  <si>
    <t>7.7</t>
  </si>
  <si>
    <t>Reference Architectures &amp; Co-Build</t>
  </si>
  <si>
    <t>Overall</t>
  </si>
  <si>
    <t>WEIGHTED SCORE (1-5)</t>
  </si>
  <si>
    <t>By theme</t>
  </si>
  <si>
    <t>Microsoft</t>
  </si>
  <si>
    <t>Google</t>
  </si>
  <si>
    <t>Amazon</t>
  </si>
  <si>
    <t>Blue cells are inputs. Weights default to 3; adjust per priority. Scores 1-5 are entered after responses are returned. This sheet is internal: remove before sending to vendors.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</si>
</sst>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charset val="1"/>
    </font>
    <font>
      <b/>
      <sz val="10.5"/>
      <color rgb="FFFFFFFF"/>
      <name val="Calibri"/>
      <charset val="1"/>
    </font>
    <font>
      <b/>
      <sz val="9.5"/>
      <color rgb="FF3B1E5E"/>
      <name val="Calibri"/>
      <charset val="1"/>
    </font>
    <font>
      <b/>
      <sz val="10"/>
      <color rgb="FFC0007A"/>
      <name val="Calibri"/>
      <charset val="1"/>
    </font>
    <font>
      <b/>
      <sz val="10"/>
      <color rgb="FF111111"/>
      <name val="Calibri"/>
      <charset val="1"/>
    </font>
    <font>
      <b/>
      <sz val="10"/>
      <color rgb="FF0000FF"/>
      <name val="Calibri"/>
      <charset val="1"/>
    </font>
    <font>
      <sz val="10"/>
      <color rgb="FF000000"/>
      <name val="Calibri"/>
      <charset val="1"/>
    </font>
    <font>
      <b/>
      <sz val="10"/>
      <color rgb="FF6B6B6B"/>
      <name val="Calibri"/>
      <charset val="1"/>
    </font>
    <font>
      <b/>
      <sz val="11"/>
      <color rgb="FFFFFFFF"/>
      <name val="Calibri"/>
      <charset val="1"/>
    </font>
    <font>
      <b/>
      <sz val="12"/>
      <color rgb="FF3B1E5E"/>
      <name val="Calibri"/>
      <charset val="1"/>
    </font>
    <font>
      <b/>
      <sz val="10.5"/>
      <color rgb="FF3B1E5E"/>
      <name val="Calibri"/>
      <charset val="1"/>
    </font>
    <font>
      <b/>
      <sz val="10"/>
      <color rgb="FFFFFFFF"/>
      <name val="Calibri"/>
      <charset val="1"/>
    </font>
    <font>
      <sz val="9.5"/>
      <color rgb="FF222222"/>
      <name val="Calibri"/>
      <charset val="1"/>
    </font>
    <font>
      <sz val="10"/>
      <color rgb="FF111111"/>
      <name val="Calibri"/>
      <charset val="1"/>
    </font>
    <font>
      <i/>
      <sz val="9"/>
      <color rgb="FF6B6B6B"/>
      <name val="Calibri"/>
      <charset val="1"/>
    </font>
    <font>
      <b/>
      <sz val="10"/>
      <color rgb="FF0000FF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3B1E5E"/>
        <bgColor rgb="FF222222"/>
      </patternFill>
    </fill>
    <fill>
      <patternFill patternType="solid">
        <fgColor rgb="FFEDE7F4"/>
        <bgColor rgb="FFFBF9F5"/>
      </patternFill>
    </fill>
    <fill>
      <patternFill patternType="solid">
        <fgColor rgb="FFFFFFFF"/>
        <bgColor rgb="FFFBF9F5"/>
      </patternFill>
    </fill>
    <fill>
      <patternFill patternType="solid">
        <fgColor rgb="FFFFF7CC"/>
        <bgColor rgb="FFFBF9F5"/>
      </patternFill>
    </fill>
    <fill>
      <patternFill patternType="solid">
        <fgColor rgb="FFFBF9F5"/>
        <bgColor rgb="FFFFFFFF"/>
      </patternFill>
    </fill>
    <fill>
      <patternFill patternType="solid">
        <fgColor rgb="FF5B3A86"/>
        <bgColor rgb="FF3B1E5E"/>
      </patternFill>
    </fill>
  </fills>
  <borders count="2">
    <border>
      <left/>
      <right/>
      <top/>
      <bottom/>
      <diagonal/>
    </border>
    <border>
      <left style="thin">
        <color rgb="FFD8D2E0"/>
      </left>
      <right style="thin">
        <color rgb="FFD8D2E0"/>
      </right>
      <top style="thin">
        <color rgb="FFD8D2E0"/>
      </top>
      <bottom style="thin">
        <color rgb="FFD8D2E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left" vertical="top" wrapText="1"/>
    </xf>
    <xf numFmtId="0" fontId="5" fillId="5" borderId="1" xfId="0" applyFont="1" applyFill="1" applyBorder="1" applyAlignment="1">
      <alignment horizontal="center" vertical="top" wrapText="1"/>
    </xf>
    <xf numFmtId="0" fontId="5" fillId="4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left" vertical="top" wrapText="1"/>
    </xf>
    <xf numFmtId="0" fontId="3" fillId="6" borderId="1" xfId="0" applyFont="1" applyFill="1" applyBorder="1" applyAlignment="1">
      <alignment horizontal="center" vertical="top" wrapText="1"/>
    </xf>
    <xf numFmtId="0" fontId="4" fillId="6" borderId="1" xfId="0" applyFont="1" applyFill="1" applyBorder="1" applyAlignment="1">
      <alignment horizontal="left" vertical="top" wrapText="1"/>
    </xf>
    <xf numFmtId="0" fontId="6" fillId="6" borderId="1" xfId="0" applyFont="1" applyFill="1" applyBorder="1" applyAlignment="1">
      <alignment horizontal="left" vertical="top" wrapText="1"/>
    </xf>
    <xf numFmtId="0" fontId="7" fillId="0" borderId="1" xfId="0" applyFont="1" applyBorder="1" applyAlignment="1">
      <alignment horizontal="center" vertical="top" wrapText="1"/>
    </xf>
    <xf numFmtId="0" fontId="8" fillId="2" borderId="1" xfId="0" applyFont="1" applyFill="1" applyBorder="1" applyAlignment="1">
      <alignment horizontal="right" vertical="top" wrapText="1"/>
    </xf>
    <xf numFmtId="0" fontId="9" fillId="5" borderId="1" xfId="0" applyFont="1" applyFill="1" applyBorder="1" applyAlignment="1">
      <alignment horizontal="center" vertical="top" wrapText="1"/>
    </xf>
    <xf numFmtId="0" fontId="10" fillId="0" borderId="1" xfId="0" applyFont="1" applyBorder="1" applyAlignment="1">
      <alignment horizontal="left" vertical="top" wrapText="1"/>
    </xf>
    <xf numFmtId="0" fontId="11" fillId="7" borderId="1" xfId="0" applyFont="1" applyFill="1" applyBorder="1" applyAlignment="1">
      <alignment horizontal="center" vertical="top" wrapText="1"/>
    </xf>
    <xf numFmtId="0" fontId="12" fillId="0" borderId="1" xfId="0" applyFont="1" applyBorder="1" applyAlignment="1">
      <alignment horizontal="left" vertical="top" wrapText="1"/>
    </xf>
    <xf numFmtId="0" fontId="13" fillId="0" borderId="1" xfId="0" applyFont="1" applyBorder="1" applyAlignment="1">
      <alignment horizontal="center" vertical="top" wrapText="1"/>
    </xf>
    <xf numFmtId="0" fontId="9" fillId="5" borderId="0" xfId="0" applyFont="1" applyFill="1" applyAlignment="1">
      <alignment horizontal="center" vertical="top" wrapText="1"/>
    </xf>
    <xf numFmtId="0" fontId="11" fillId="7" borderId="0" xfId="0" applyFont="1" applyFill="1" applyAlignment="1">
      <alignment horizontal="center" vertical="top" wrapText="1"/>
    </xf>
    <xf numFmtId="0" fontId="13" fillId="0" borderId="0" xfId="0" applyFont="1" applyAlignment="1">
      <alignment horizontal="center" vertical="top" wrapText="1"/>
    </xf>
    <xf numFmtId="0" fontId="15" fillId="4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left" vertical="top" wrapText="1"/>
    </xf>
    <xf numFmtId="0" fontId="14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C0007A"/>
      <rgbColor rgb="FF008080"/>
      <rgbColor rgb="FFC0C0C0"/>
      <rgbColor rgb="FF808080"/>
      <rgbColor rgb="FF9999FF"/>
      <rgbColor rgb="FF993366"/>
      <rgbColor rgb="FFFFF7CC"/>
      <rgbColor rgb="FFEDE7F4"/>
      <rgbColor rgb="FF3B1E5E"/>
      <rgbColor rgb="FFFF8080"/>
      <rgbColor rgb="FF0066CC"/>
      <rgbColor rgb="FFD8D2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BF9F5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111111"/>
      <rgbColor rgb="FF333300"/>
      <rgbColor rgb="FF993300"/>
      <rgbColor rgb="FF993366"/>
      <rgbColor rgb="FF5B3A86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9"/>
  <sheetViews>
    <sheetView showGridLines="0" tabSelected="1"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22" customWidth="1"/>
    <col min="2" max="2" width="6" customWidth="1"/>
    <col min="3" max="3" width="26" customWidth="1"/>
    <col min="4" max="4" width="9" customWidth="1"/>
    <col min="5" max="5" width="15.85546875" customWidth="1"/>
    <col min="6" max="6" width="26.85546875" customWidth="1"/>
    <col min="7" max="7" width="11.7109375" customWidth="1"/>
    <col min="8" max="8" width="31.28515625" customWidth="1"/>
    <col min="9" max="12" width="11" customWidth="1"/>
    <col min="13" max="13" width="50" customWidth="1"/>
  </cols>
  <sheetData>
    <row r="1" spans="1:13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75.75" customHeight="1">
      <c r="A2" s="21" t="s">
        <v>13</v>
      </c>
      <c r="B2" s="2" t="s">
        <v>14</v>
      </c>
      <c r="C2" s="3" t="s">
        <v>15</v>
      </c>
      <c r="D2" s="4">
        <v>3</v>
      </c>
      <c r="E2" s="20">
        <v>4.5</v>
      </c>
      <c r="F2" s="20" t="s">
        <v>16</v>
      </c>
      <c r="G2" s="5"/>
      <c r="H2" s="5"/>
      <c r="I2" s="5"/>
      <c r="J2" s="5"/>
      <c r="K2" s="5"/>
      <c r="L2" s="5"/>
      <c r="M2" s="6"/>
    </row>
    <row r="3" spans="1:13" ht="30" customHeight="1">
      <c r="A3" s="21"/>
      <c r="B3" s="7" t="s">
        <v>17</v>
      </c>
      <c r="C3" s="8" t="s">
        <v>18</v>
      </c>
      <c r="D3" s="4">
        <v>3</v>
      </c>
      <c r="E3" s="20"/>
      <c r="F3" s="20"/>
      <c r="G3" s="5"/>
      <c r="H3" s="5"/>
      <c r="I3" s="5"/>
      <c r="J3" s="5"/>
      <c r="K3" s="5"/>
      <c r="L3" s="5"/>
      <c r="M3" s="9"/>
    </row>
    <row r="4" spans="1:13" ht="30" customHeight="1">
      <c r="A4" s="21"/>
      <c r="B4" s="2" t="s">
        <v>19</v>
      </c>
      <c r="C4" s="3" t="s">
        <v>20</v>
      </c>
      <c r="D4" s="4">
        <v>3</v>
      </c>
      <c r="E4" s="20">
        <v>5</v>
      </c>
      <c r="F4" s="20" t="s">
        <v>21</v>
      </c>
      <c r="G4" s="5">
        <v>5</v>
      </c>
      <c r="H4" s="20" t="s">
        <v>21</v>
      </c>
      <c r="I4" s="5">
        <v>5</v>
      </c>
      <c r="J4" s="20" t="s">
        <v>21</v>
      </c>
      <c r="K4" s="5">
        <v>5</v>
      </c>
      <c r="L4" s="20" t="s">
        <v>21</v>
      </c>
      <c r="M4" s="6"/>
    </row>
    <row r="5" spans="1:13" ht="30" customHeight="1">
      <c r="A5" s="21"/>
      <c r="B5" s="7" t="s">
        <v>22</v>
      </c>
      <c r="C5" s="8" t="s">
        <v>23</v>
      </c>
      <c r="D5" s="4">
        <v>3</v>
      </c>
      <c r="E5" s="20">
        <v>5</v>
      </c>
      <c r="F5" s="20"/>
      <c r="G5" s="5">
        <v>5</v>
      </c>
      <c r="H5" s="5"/>
      <c r="I5" s="5">
        <v>5</v>
      </c>
      <c r="J5" s="5"/>
      <c r="K5" s="5">
        <v>5</v>
      </c>
      <c r="L5" s="5"/>
      <c r="M5" s="9"/>
    </row>
    <row r="6" spans="1:13" ht="30" customHeight="1">
      <c r="A6" s="21"/>
      <c r="B6" s="2" t="s">
        <v>24</v>
      </c>
      <c r="C6" s="3" t="s">
        <v>25</v>
      </c>
      <c r="D6" s="4">
        <v>3</v>
      </c>
      <c r="E6" s="20"/>
      <c r="F6" s="20"/>
      <c r="G6" s="5"/>
      <c r="H6" s="5"/>
      <c r="I6" s="5"/>
      <c r="J6" s="5"/>
      <c r="K6" s="5"/>
      <c r="L6" s="5"/>
      <c r="M6" s="6"/>
    </row>
    <row r="7" spans="1:13" ht="30" customHeight="1">
      <c r="A7" s="21"/>
      <c r="B7" s="7" t="s">
        <v>26</v>
      </c>
      <c r="C7" s="8" t="s">
        <v>27</v>
      </c>
      <c r="D7" s="4">
        <v>3</v>
      </c>
      <c r="E7" s="20"/>
      <c r="F7" s="20"/>
      <c r="G7" s="5"/>
      <c r="H7" s="5"/>
      <c r="I7" s="5"/>
      <c r="J7" s="5"/>
      <c r="K7" s="5"/>
      <c r="L7" s="5"/>
      <c r="M7" s="9"/>
    </row>
    <row r="8" spans="1:13" ht="30" customHeight="1">
      <c r="A8" s="21" t="s">
        <v>28</v>
      </c>
      <c r="B8" s="2" t="s">
        <v>29</v>
      </c>
      <c r="C8" s="3" t="s">
        <v>30</v>
      </c>
      <c r="D8" s="4">
        <v>3</v>
      </c>
      <c r="E8" s="20"/>
      <c r="F8" s="20"/>
      <c r="G8" s="5"/>
      <c r="H8" s="5"/>
      <c r="I8" s="5"/>
      <c r="J8" s="5"/>
      <c r="K8" s="5"/>
      <c r="L8" s="5"/>
      <c r="M8" s="6"/>
    </row>
    <row r="9" spans="1:13" ht="30" customHeight="1">
      <c r="A9" s="21"/>
      <c r="B9" s="7" t="s">
        <v>31</v>
      </c>
      <c r="C9" s="8" t="s">
        <v>32</v>
      </c>
      <c r="D9" s="4">
        <v>3</v>
      </c>
      <c r="E9" s="20"/>
      <c r="F9" s="20"/>
      <c r="G9" s="5"/>
      <c r="H9" s="5"/>
      <c r="I9" s="5"/>
      <c r="J9" s="5"/>
      <c r="K9" s="5"/>
      <c r="L9" s="5"/>
      <c r="M9" s="9"/>
    </row>
    <row r="10" spans="1:13" ht="30" customHeight="1">
      <c r="A10" s="21"/>
      <c r="B10" s="2" t="s">
        <v>33</v>
      </c>
      <c r="C10" s="3" t="s">
        <v>34</v>
      </c>
      <c r="D10" s="4">
        <v>3</v>
      </c>
      <c r="E10" s="20"/>
      <c r="F10" s="20"/>
      <c r="G10" s="5"/>
      <c r="H10" s="5"/>
      <c r="I10" s="5"/>
      <c r="J10" s="5"/>
      <c r="K10" s="5"/>
      <c r="L10" s="5"/>
      <c r="M10" s="6"/>
    </row>
    <row r="11" spans="1:13" ht="30" customHeight="1">
      <c r="A11" s="21"/>
      <c r="B11" s="7" t="s">
        <v>35</v>
      </c>
      <c r="C11" s="8" t="s">
        <v>36</v>
      </c>
      <c r="D11" s="4">
        <v>3</v>
      </c>
      <c r="E11" s="20"/>
      <c r="F11" s="20"/>
      <c r="G11" s="5"/>
      <c r="H11" s="5"/>
      <c r="I11" s="5"/>
      <c r="J11" s="5"/>
      <c r="K11" s="5"/>
      <c r="L11" s="5"/>
      <c r="M11" s="9"/>
    </row>
    <row r="12" spans="1:13" ht="71.25" customHeight="1">
      <c r="A12" s="21" t="s">
        <v>37</v>
      </c>
      <c r="B12" s="2" t="s">
        <v>38</v>
      </c>
      <c r="C12" s="3" t="s">
        <v>39</v>
      </c>
      <c r="D12" s="4">
        <v>3</v>
      </c>
      <c r="E12" s="20"/>
      <c r="F12" s="20"/>
      <c r="G12" s="5">
        <v>3.5</v>
      </c>
      <c r="H12" s="5" t="s">
        <v>40</v>
      </c>
      <c r="I12" s="5">
        <v>4.25</v>
      </c>
      <c r="J12" s="5" t="s">
        <v>41</v>
      </c>
      <c r="K12" s="5"/>
      <c r="L12" s="5"/>
      <c r="M12" s="6"/>
    </row>
    <row r="13" spans="1:13" ht="30" customHeight="1">
      <c r="A13" s="21"/>
      <c r="B13" s="7" t="s">
        <v>42</v>
      </c>
      <c r="C13" s="8" t="s">
        <v>43</v>
      </c>
      <c r="D13" s="4">
        <v>3</v>
      </c>
      <c r="E13" s="20"/>
      <c r="F13" s="20"/>
      <c r="G13" s="5"/>
      <c r="H13" s="5"/>
      <c r="I13" s="5"/>
      <c r="J13" s="5"/>
      <c r="K13" s="5"/>
      <c r="L13" s="5"/>
      <c r="M13" s="9"/>
    </row>
    <row r="14" spans="1:13" ht="30" customHeight="1">
      <c r="A14" s="21"/>
      <c r="B14" s="2" t="s">
        <v>44</v>
      </c>
      <c r="C14" s="3" t="s">
        <v>45</v>
      </c>
      <c r="D14" s="4">
        <v>3</v>
      </c>
      <c r="E14" s="20"/>
      <c r="F14" s="20"/>
      <c r="G14" s="5"/>
      <c r="H14" s="5"/>
      <c r="I14" s="5"/>
      <c r="J14" s="5"/>
      <c r="K14" s="5"/>
      <c r="L14" s="5"/>
      <c r="M14" s="6"/>
    </row>
    <row r="15" spans="1:13" ht="30" customHeight="1">
      <c r="A15" s="21"/>
      <c r="B15" s="7" t="s">
        <v>46</v>
      </c>
      <c r="C15" s="8" t="s">
        <v>47</v>
      </c>
      <c r="D15" s="4">
        <v>3</v>
      </c>
      <c r="E15" s="20"/>
      <c r="F15" s="20"/>
      <c r="G15" s="5"/>
      <c r="H15" s="5"/>
      <c r="I15" s="5"/>
      <c r="J15" s="5"/>
      <c r="K15" s="5"/>
      <c r="L15" s="5"/>
      <c r="M15" s="9"/>
    </row>
    <row r="16" spans="1:13" ht="30" customHeight="1">
      <c r="A16" s="21"/>
      <c r="B16" s="2" t="s">
        <v>48</v>
      </c>
      <c r="C16" s="3" t="s">
        <v>49</v>
      </c>
      <c r="D16" s="4">
        <v>3</v>
      </c>
      <c r="E16" s="20"/>
      <c r="F16" s="20"/>
      <c r="G16" s="5"/>
      <c r="H16" s="5"/>
      <c r="I16" s="5"/>
      <c r="J16" s="5"/>
      <c r="K16" s="5"/>
      <c r="L16" s="5"/>
      <c r="M16" s="6"/>
    </row>
    <row r="17" spans="1:13" ht="30" customHeight="1">
      <c r="A17" s="21" t="s">
        <v>50</v>
      </c>
      <c r="B17" s="7" t="s">
        <v>51</v>
      </c>
      <c r="C17" s="8" t="s">
        <v>52</v>
      </c>
      <c r="D17" s="4">
        <v>3</v>
      </c>
      <c r="E17" s="20"/>
      <c r="F17" s="20"/>
      <c r="G17" s="5"/>
      <c r="H17" s="5"/>
      <c r="I17" s="5"/>
      <c r="J17" s="5"/>
      <c r="K17" s="5"/>
      <c r="L17" s="5"/>
      <c r="M17" s="9"/>
    </row>
    <row r="18" spans="1:13" ht="30" customHeight="1">
      <c r="A18" s="21"/>
      <c r="B18" s="2" t="s">
        <v>53</v>
      </c>
      <c r="C18" s="3" t="s">
        <v>54</v>
      </c>
      <c r="D18" s="4">
        <v>3</v>
      </c>
      <c r="E18" s="20"/>
      <c r="F18" s="20"/>
      <c r="G18" s="5"/>
      <c r="H18" s="5"/>
      <c r="I18" s="5"/>
      <c r="J18" s="5"/>
      <c r="K18" s="5"/>
      <c r="L18" s="5"/>
      <c r="M18" s="6"/>
    </row>
    <row r="19" spans="1:13" ht="30" customHeight="1">
      <c r="A19" s="21" t="s">
        <v>55</v>
      </c>
      <c r="B19" s="7" t="s">
        <v>56</v>
      </c>
      <c r="C19" s="8" t="s">
        <v>57</v>
      </c>
      <c r="D19" s="4">
        <v>3</v>
      </c>
      <c r="E19" s="20"/>
      <c r="F19" s="20"/>
      <c r="G19" s="5"/>
      <c r="H19" s="5"/>
      <c r="I19" s="5"/>
      <c r="J19" s="5"/>
      <c r="K19" s="5"/>
      <c r="L19" s="5"/>
      <c r="M19" s="9"/>
    </row>
    <row r="20" spans="1:13" ht="30" customHeight="1">
      <c r="A20" s="21"/>
      <c r="B20" s="2" t="s">
        <v>58</v>
      </c>
      <c r="C20" s="3" t="s">
        <v>59</v>
      </c>
      <c r="D20" s="4">
        <v>3</v>
      </c>
      <c r="E20" s="20"/>
      <c r="F20" s="20"/>
      <c r="G20" s="5"/>
      <c r="H20" s="5"/>
      <c r="I20" s="5"/>
      <c r="J20" s="5"/>
      <c r="K20" s="5"/>
      <c r="L20" s="5"/>
      <c r="M20" s="6"/>
    </row>
    <row r="21" spans="1:13" ht="30" customHeight="1">
      <c r="A21" s="21"/>
      <c r="B21" s="7" t="s">
        <v>60</v>
      </c>
      <c r="C21" s="8" t="s">
        <v>61</v>
      </c>
      <c r="D21" s="4">
        <v>3</v>
      </c>
      <c r="E21" s="20"/>
      <c r="F21" s="20"/>
      <c r="G21" s="5"/>
      <c r="H21" s="5"/>
      <c r="I21" s="5"/>
      <c r="J21" s="5"/>
      <c r="K21" s="5"/>
      <c r="L21" s="5"/>
      <c r="M21" s="9"/>
    </row>
    <row r="22" spans="1:13" ht="30" customHeight="1">
      <c r="A22" s="21"/>
      <c r="B22" s="2" t="s">
        <v>62</v>
      </c>
      <c r="C22" s="3" t="s">
        <v>63</v>
      </c>
      <c r="D22" s="4">
        <v>3</v>
      </c>
      <c r="E22" s="20"/>
      <c r="F22" s="20"/>
      <c r="G22" s="5"/>
      <c r="H22" s="5"/>
      <c r="I22" s="5"/>
      <c r="J22" s="5"/>
      <c r="K22" s="5"/>
      <c r="L22" s="5"/>
      <c r="M22" s="6"/>
    </row>
    <row r="23" spans="1:13" ht="30" customHeight="1">
      <c r="A23" s="21"/>
      <c r="B23" s="7" t="s">
        <v>64</v>
      </c>
      <c r="C23" s="8" t="s">
        <v>65</v>
      </c>
      <c r="D23" s="4">
        <v>3</v>
      </c>
      <c r="E23" s="20"/>
      <c r="F23" s="20"/>
      <c r="G23" s="5"/>
      <c r="H23" s="5"/>
      <c r="I23" s="5"/>
      <c r="J23" s="5"/>
      <c r="K23" s="5"/>
      <c r="L23" s="5"/>
      <c r="M23" s="9"/>
    </row>
    <row r="24" spans="1:13" ht="30" customHeight="1">
      <c r="A24" s="21" t="s">
        <v>66</v>
      </c>
      <c r="B24" s="2" t="s">
        <v>67</v>
      </c>
      <c r="C24" s="3" t="s">
        <v>68</v>
      </c>
      <c r="D24" s="4">
        <v>3</v>
      </c>
      <c r="E24" s="20">
        <v>5</v>
      </c>
      <c r="F24" s="20" t="s">
        <v>69</v>
      </c>
      <c r="G24" s="5"/>
      <c r="H24" s="5"/>
      <c r="I24" s="5"/>
      <c r="J24" s="5"/>
      <c r="K24" s="5"/>
      <c r="L24" s="5"/>
      <c r="M24" s="6"/>
    </row>
    <row r="25" spans="1:13" ht="30" customHeight="1">
      <c r="A25" s="21"/>
      <c r="B25" s="7" t="s">
        <v>70</v>
      </c>
      <c r="C25" s="8" t="s">
        <v>71</v>
      </c>
      <c r="D25" s="4">
        <v>3</v>
      </c>
      <c r="E25" s="20"/>
      <c r="F25" s="20"/>
      <c r="G25" s="5"/>
      <c r="H25" s="5"/>
      <c r="I25" s="5"/>
      <c r="J25" s="5"/>
      <c r="K25" s="5"/>
      <c r="L25" s="5"/>
      <c r="M25" s="9"/>
    </row>
    <row r="26" spans="1:13" ht="30" customHeight="1">
      <c r="A26" s="21"/>
      <c r="B26" s="2" t="s">
        <v>72</v>
      </c>
      <c r="C26" s="3" t="s">
        <v>73</v>
      </c>
      <c r="D26" s="4">
        <v>3</v>
      </c>
      <c r="E26" s="20"/>
      <c r="F26" s="20"/>
      <c r="G26" s="5"/>
      <c r="H26" s="5"/>
      <c r="I26" s="5"/>
      <c r="J26" s="5"/>
      <c r="K26" s="5"/>
      <c r="L26" s="5"/>
      <c r="M26" s="6"/>
    </row>
    <row r="27" spans="1:13" ht="30" customHeight="1">
      <c r="A27" s="21"/>
      <c r="B27" s="7" t="s">
        <v>74</v>
      </c>
      <c r="C27" s="8" t="s">
        <v>75</v>
      </c>
      <c r="D27" s="4">
        <v>3</v>
      </c>
      <c r="E27" s="20"/>
      <c r="F27" s="20"/>
      <c r="G27" s="5"/>
      <c r="H27" s="5"/>
      <c r="I27" s="5"/>
      <c r="J27" s="5"/>
      <c r="K27" s="5"/>
      <c r="L27" s="5"/>
      <c r="M27" s="9"/>
    </row>
    <row r="28" spans="1:13" ht="30" customHeight="1">
      <c r="A28" s="21"/>
      <c r="B28" s="2" t="s">
        <v>76</v>
      </c>
      <c r="C28" s="3" t="s">
        <v>77</v>
      </c>
      <c r="D28" s="4">
        <v>3</v>
      </c>
      <c r="E28" s="20"/>
      <c r="F28" s="20"/>
      <c r="G28" s="5"/>
      <c r="H28" s="5"/>
      <c r="I28" s="5"/>
      <c r="J28" s="5"/>
      <c r="K28" s="5"/>
      <c r="L28" s="5"/>
      <c r="M28" s="6"/>
    </row>
    <row r="29" spans="1:13" ht="30" customHeight="1">
      <c r="A29" s="21" t="s">
        <v>78</v>
      </c>
      <c r="B29" s="7" t="s">
        <v>79</v>
      </c>
      <c r="C29" s="8" t="s">
        <v>80</v>
      </c>
      <c r="D29" s="4">
        <v>3</v>
      </c>
      <c r="E29" s="20"/>
      <c r="F29" s="20"/>
      <c r="G29" s="5"/>
      <c r="H29" s="5"/>
      <c r="I29" s="5"/>
      <c r="J29" s="5"/>
      <c r="K29" s="5"/>
      <c r="L29" s="5"/>
      <c r="M29" s="9"/>
    </row>
    <row r="30" spans="1:13" ht="30" customHeight="1">
      <c r="A30" s="21"/>
      <c r="B30" s="2" t="s">
        <v>81</v>
      </c>
      <c r="C30" s="3" t="s">
        <v>82</v>
      </c>
      <c r="D30" s="4">
        <v>3</v>
      </c>
      <c r="E30" s="20"/>
      <c r="F30" s="20"/>
      <c r="G30" s="5"/>
      <c r="H30" s="5"/>
      <c r="I30" s="5"/>
      <c r="J30" s="5"/>
      <c r="K30" s="5"/>
      <c r="L30" s="5"/>
      <c r="M30" s="6"/>
    </row>
    <row r="31" spans="1:13" ht="30" customHeight="1">
      <c r="A31" s="21"/>
      <c r="B31" s="7" t="s">
        <v>83</v>
      </c>
      <c r="C31" s="8" t="s">
        <v>84</v>
      </c>
      <c r="D31" s="4">
        <v>3</v>
      </c>
      <c r="E31" s="20"/>
      <c r="F31" s="20"/>
      <c r="G31" s="5"/>
      <c r="H31" s="5"/>
      <c r="I31" s="5"/>
      <c r="J31" s="5"/>
      <c r="K31" s="5"/>
      <c r="L31" s="5"/>
      <c r="M31" s="9"/>
    </row>
    <row r="32" spans="1:13" ht="30" customHeight="1">
      <c r="A32" s="21"/>
      <c r="B32" s="2" t="s">
        <v>85</v>
      </c>
      <c r="C32" s="3" t="s">
        <v>86</v>
      </c>
      <c r="D32" s="4">
        <v>3</v>
      </c>
      <c r="E32" s="20"/>
      <c r="F32" s="20"/>
      <c r="G32" s="5"/>
      <c r="H32" s="5"/>
      <c r="I32" s="5"/>
      <c r="J32" s="5"/>
      <c r="K32" s="5"/>
      <c r="L32" s="5"/>
      <c r="M32" s="6"/>
    </row>
    <row r="33" spans="1:13" ht="30" customHeight="1">
      <c r="A33" s="21"/>
      <c r="B33" s="7" t="s">
        <v>87</v>
      </c>
      <c r="C33" s="8" t="s">
        <v>88</v>
      </c>
      <c r="D33" s="4">
        <v>3</v>
      </c>
      <c r="E33" s="20"/>
      <c r="F33" s="20"/>
      <c r="G33" s="5"/>
      <c r="H33" s="5"/>
      <c r="I33" s="5"/>
      <c r="J33" s="5"/>
      <c r="K33" s="5"/>
      <c r="L33" s="5"/>
      <c r="M33" s="9"/>
    </row>
    <row r="34" spans="1:13" ht="30" customHeight="1">
      <c r="A34" s="21"/>
      <c r="B34" s="2" t="s">
        <v>89</v>
      </c>
      <c r="C34" s="3" t="s">
        <v>90</v>
      </c>
      <c r="D34" s="4">
        <v>3</v>
      </c>
      <c r="E34" s="20"/>
      <c r="F34" s="20"/>
      <c r="G34" s="5"/>
      <c r="H34" s="5"/>
      <c r="I34" s="5"/>
      <c r="J34" s="5"/>
      <c r="K34" s="5"/>
      <c r="L34" s="5"/>
      <c r="M34" s="6"/>
    </row>
    <row r="35" spans="1:13" ht="30" customHeight="1">
      <c r="A35" s="21"/>
      <c r="B35" s="7" t="s">
        <v>91</v>
      </c>
      <c r="C35" s="8" t="s">
        <v>92</v>
      </c>
      <c r="D35" s="4">
        <v>3</v>
      </c>
      <c r="E35" s="20"/>
      <c r="F35" s="20"/>
      <c r="G35" s="5"/>
      <c r="H35" s="5"/>
      <c r="I35" s="5"/>
      <c r="J35" s="5"/>
      <c r="K35" s="5"/>
      <c r="L35" s="5"/>
      <c r="M35" s="9"/>
    </row>
    <row r="38" spans="1:13" ht="24" customHeight="1">
      <c r="B38" s="10" t="s">
        <v>93</v>
      </c>
      <c r="C38" s="11" t="s">
        <v>94</v>
      </c>
      <c r="G38" s="12">
        <f>IFERROR(SUMPRODUCT($D2:$D35,G2:G35)/SUMPRODUCT($D2:$D35,--(G2:G35&lt;&gt;"")),"")</f>
        <v>4.5</v>
      </c>
      <c r="H38" s="12"/>
      <c r="I38" s="12">
        <f>IFERROR(SUMPRODUCT($D2:$D35,I2:I35)/SUMPRODUCT($D2:$D35,--(I2:I35&lt;&gt;"")),"")</f>
        <v>4.75</v>
      </c>
      <c r="J38" s="12"/>
      <c r="K38" s="12">
        <f>IFERROR(SUMPRODUCT($D2:$D35,K2:K35)/SUMPRODUCT($D2:$D35,--(K2:K35&lt;&gt;"")),"")</f>
        <v>5</v>
      </c>
      <c r="L38" s="17"/>
    </row>
    <row r="40" spans="1:13" ht="15" customHeight="1">
      <c r="C40" s="13" t="s">
        <v>95</v>
      </c>
      <c r="G40" s="14" t="s">
        <v>96</v>
      </c>
      <c r="H40" s="14"/>
      <c r="I40" s="14" t="s">
        <v>97</v>
      </c>
      <c r="J40" s="14"/>
      <c r="K40" s="14" t="s">
        <v>98</v>
      </c>
      <c r="L40" s="18"/>
    </row>
    <row r="41" spans="1:13" ht="15" customHeight="1">
      <c r="C41" s="15" t="s">
        <v>13</v>
      </c>
      <c r="G41" s="16">
        <f>IFERROR(SUMPRODUCT($D2:$D7,G2:G7)/SUMPRODUCT($D2:$D7,--(G2:G7&lt;&gt;"")),"")</f>
        <v>5</v>
      </c>
      <c r="H41" s="16"/>
      <c r="I41" s="16">
        <f>IFERROR(SUMPRODUCT($D2:$D7,I2:I7)/SUMPRODUCT($D2:$D7,--(I2:I7&lt;&gt;"")),"")</f>
        <v>5</v>
      </c>
      <c r="J41" s="16"/>
      <c r="K41" s="16">
        <f>IFERROR(SUMPRODUCT($D2:$D7,K2:K7)/SUMPRODUCT($D2:$D7,--(K2:K7&lt;&gt;"")),"")</f>
        <v>5</v>
      </c>
      <c r="L41" s="19"/>
    </row>
    <row r="42" spans="1:13" ht="15" customHeight="1">
      <c r="C42" s="15" t="s">
        <v>28</v>
      </c>
      <c r="G42" s="16" t="str">
        <f>IFERROR(SUMPRODUCT($D8:$D11,G8:G11)/SUMPRODUCT($D8:$D11,--(G8:G11&lt;&gt;"")),"")</f>
        <v/>
      </c>
      <c r="H42" s="16"/>
      <c r="I42" s="16" t="str">
        <f>IFERROR(SUMPRODUCT($D8:$D11,I8:I11)/SUMPRODUCT($D8:$D11,--(I8:I11&lt;&gt;"")),"")</f>
        <v/>
      </c>
      <c r="J42" s="16"/>
      <c r="K42" s="16" t="str">
        <f>IFERROR(SUMPRODUCT($D8:$D11,K8:K11)/SUMPRODUCT($D8:$D11,--(K8:K11&lt;&gt;"")),"")</f>
        <v/>
      </c>
      <c r="L42" s="19"/>
    </row>
    <row r="43" spans="1:13" ht="15" customHeight="1">
      <c r="C43" s="15" t="s">
        <v>37</v>
      </c>
      <c r="G43" s="16">
        <f>IFERROR(SUMPRODUCT($D12:$D16,G12:G16)/SUMPRODUCT($D12:$D16,--(G12:G16&lt;&gt;"")),"")</f>
        <v>3.5</v>
      </c>
      <c r="H43" s="16"/>
      <c r="I43" s="16">
        <f>IFERROR(SUMPRODUCT($D12:$D16,I12:I16)/SUMPRODUCT($D12:$D16,--(I12:I16&lt;&gt;"")),"")</f>
        <v>4.25</v>
      </c>
      <c r="J43" s="16"/>
      <c r="K43" s="16" t="str">
        <f>IFERROR(SUMPRODUCT($D12:$D16,K12:K16)/SUMPRODUCT($D12:$D16,--(K12:K16&lt;&gt;"")),"")</f>
        <v/>
      </c>
      <c r="L43" s="19"/>
    </row>
    <row r="44" spans="1:13" ht="15" customHeight="1">
      <c r="C44" s="15" t="s">
        <v>50</v>
      </c>
      <c r="G44" s="16" t="str">
        <f>IFERROR(SUMPRODUCT($D17:$D18,G17:G18)/SUMPRODUCT($D17:$D18,--(G17:G18&lt;&gt;"")),"")</f>
        <v/>
      </c>
      <c r="H44" s="16"/>
      <c r="I44" s="16" t="str">
        <f>IFERROR(SUMPRODUCT($D17:$D18,I17:I18)/SUMPRODUCT($D17:$D18,--(I17:I18&lt;&gt;"")),"")</f>
        <v/>
      </c>
      <c r="J44" s="16"/>
      <c r="K44" s="16" t="str">
        <f>IFERROR(SUMPRODUCT($D17:$D18,K17:K18)/SUMPRODUCT($D17:$D18,--(K17:K18&lt;&gt;"")),"")</f>
        <v/>
      </c>
      <c r="L44" s="19"/>
    </row>
    <row r="45" spans="1:13" ht="15" customHeight="1">
      <c r="C45" s="15" t="s">
        <v>55</v>
      </c>
      <c r="G45" s="16" t="str">
        <f>IFERROR(SUMPRODUCT($D19:$D23,G19:G23)/SUMPRODUCT($D19:$D23,--(G19:G23&lt;&gt;"")),"")</f>
        <v/>
      </c>
      <c r="H45" s="16"/>
      <c r="I45" s="16" t="str">
        <f>IFERROR(SUMPRODUCT($D19:$D23,I19:I23)/SUMPRODUCT($D19:$D23,--(I19:I23&lt;&gt;"")),"")</f>
        <v/>
      </c>
      <c r="J45" s="16"/>
      <c r="K45" s="16" t="str">
        <f>IFERROR(SUMPRODUCT($D19:$D23,K19:K23)/SUMPRODUCT($D19:$D23,--(K19:K23&lt;&gt;"")),"")</f>
        <v/>
      </c>
      <c r="L45" s="19"/>
    </row>
    <row r="46" spans="1:13" ht="23.25" customHeight="1">
      <c r="C46" s="15" t="s">
        <v>66</v>
      </c>
      <c r="G46" s="16" t="str">
        <f>IFERROR(SUMPRODUCT($D24:$D28,G24:G28)/SUMPRODUCT($D24:$D28,--(G24:G28&lt;&gt;"")),"")</f>
        <v/>
      </c>
      <c r="H46" s="16"/>
      <c r="I46" s="16" t="str">
        <f>IFERROR(SUMPRODUCT($D24:$D28,I24:I28)/SUMPRODUCT($D24:$D28,--(I24:I28&lt;&gt;"")),"")</f>
        <v/>
      </c>
      <c r="J46" s="16"/>
      <c r="K46" s="16" t="str">
        <f>IFERROR(SUMPRODUCT($D24:$D28,K24:K28)/SUMPRODUCT($D24:$D28,--(K24:K28&lt;&gt;"")),"")</f>
        <v/>
      </c>
      <c r="L46" s="19"/>
    </row>
    <row r="47" spans="1:13" ht="23.25" customHeight="1">
      <c r="C47" s="15" t="s">
        <v>78</v>
      </c>
      <c r="G47" s="16" t="str">
        <f>IFERROR(SUMPRODUCT($D29:$D35,G29:G35)/SUMPRODUCT($D29:$D35,--(G29:G35&lt;&gt;"")),"")</f>
        <v/>
      </c>
      <c r="H47" s="16"/>
      <c r="I47" s="16" t="str">
        <f>IFERROR(SUMPRODUCT($D29:$D35,I29:I35)/SUMPRODUCT($D29:$D35,--(I29:I35&lt;&gt;"")),"")</f>
        <v/>
      </c>
      <c r="J47" s="16"/>
      <c r="K47" s="16" t="str">
        <f>IFERROR(SUMPRODUCT($D29:$D35,K29:K35)/SUMPRODUCT($D29:$D35,--(K29:K35&lt;&gt;"")),"")</f>
        <v/>
      </c>
      <c r="L47" s="19"/>
    </row>
    <row r="49" spans="3:13" ht="15" customHeight="1">
      <c r="C49" s="22" t="s">
        <v>99</v>
      </c>
      <c r="D49" s="22"/>
      <c r="E49" s="22"/>
      <c r="F49" s="22"/>
      <c r="G49" s="22"/>
      <c r="H49" s="22"/>
      <c r="I49" s="22"/>
      <c r="J49" s="22"/>
      <c r="K49" s="22"/>
      <c r="L49" s="22"/>
      <c r="M49" s="22"/>
    </row>
  </sheetData>
  <mergeCells count="8">
    <mergeCell ref="A24:A28"/>
    <mergeCell ref="A29:A35"/>
    <mergeCell ref="C49:M49"/>
    <mergeCell ref="A2:A7"/>
    <mergeCell ref="A8:A11"/>
    <mergeCell ref="A12:A16"/>
    <mergeCell ref="A17:A18"/>
    <mergeCell ref="A19:A23"/>
  </mergeCells>
  <dataValidations count="1">
    <dataValidation type="whole" allowBlank="1" sqref="D2:L35" xr:uid="{00000000-0002-0000-0000-000000000000}">
      <formula1>1</formula1>
      <formula2>5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355629-06fe-44a6-b883-d89846081ce2">
      <Terms xmlns="http://schemas.microsoft.com/office/infopath/2007/PartnerControls"/>
    </lcf76f155ced4ddcb4097134ff3c332f>
    <TaxCatchAll xmlns="4c7227a1-7120-4b2c-8edd-0cd589bd659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3D8B8B3B61C74F89E2E7248830AC46" ma:contentTypeVersion="11" ma:contentTypeDescription="Create a new document." ma:contentTypeScope="" ma:versionID="a18e5304434f13e59b0e456478f41744">
  <xsd:schema xmlns:xsd="http://www.w3.org/2001/XMLSchema" xmlns:xs="http://www.w3.org/2001/XMLSchema" xmlns:p="http://schemas.microsoft.com/office/2006/metadata/properties" xmlns:ns2="79355629-06fe-44a6-b883-d89846081ce2" xmlns:ns3="4c7227a1-7120-4b2c-8edd-0cd589bd659b" targetNamespace="http://schemas.microsoft.com/office/2006/metadata/properties" ma:root="true" ma:fieldsID="df71dcd466010f167ae9a5658dd1e2a6" ns2:_="" ns3:_="">
    <xsd:import namespace="79355629-06fe-44a6-b883-d89846081ce2"/>
    <xsd:import namespace="4c7227a1-7120-4b2c-8edd-0cd589bd65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355629-06fe-44a6-b883-d89846081ce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acf2a12-12ca-4c79-a9ff-6a8623f648a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7227a1-7120-4b2c-8edd-0cd589bd659b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18fe196e-afc6-4fc3-988d-fc88ffdffdfb}" ma:internalName="TaxCatchAll" ma:showField="CatchAllData" ma:web="4c7227a1-7120-4b2c-8edd-0cd589bd659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5271021-B4DF-4A70-88C6-EBF3C68590DD}"/>
</file>

<file path=customXml/itemProps2.xml><?xml version="1.0" encoding="utf-8"?>
<ds:datastoreItem xmlns:ds="http://schemas.openxmlformats.org/officeDocument/2006/customXml" ds:itemID="{A005916C-819C-4EA7-89BF-061E584F1241}"/>
</file>

<file path=customXml/itemProps3.xml><?xml version="1.0" encoding="utf-8"?>
<ds:datastoreItem xmlns:ds="http://schemas.openxmlformats.org/officeDocument/2006/customXml" ds:itemID="{DBABF80B-E03B-4EDA-8E17-32879F202A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2026-06-23T22:55:26Z</dcterms:created>
  <dcterms:modified xsi:type="dcterms:W3CDTF">2026-06-26T19:44:32Z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0x010100E63D8B8B3B61C74F89E2E7248830AC46</vt:lpwstr>
  </property>
  <property fmtid="{D5CDD505-2E9C-101B-9397-08002B2CF9AE}" pid="3" name="MediaServiceImageTags">
    <vt:lpwstr/>
  </property>
</Properties>
</file>